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44525" iterateDelta="1E-4"/>
</workbook>
</file>

<file path=xl/calcChain.xml><?xml version="1.0" encoding="utf-8"?>
<calcChain xmlns="http://schemas.openxmlformats.org/spreadsheetml/2006/main">
  <c r="I23" i="2" l="1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321" i="2" l="1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12" i="2"/>
  <c r="J12" i="2" s="1"/>
  <c r="I6" i="2"/>
  <c r="J6" i="2" l="1"/>
</calcChain>
</file>

<file path=xl/sharedStrings.xml><?xml version="1.0" encoding="utf-8"?>
<sst xmlns="http://schemas.openxmlformats.org/spreadsheetml/2006/main" count="137" uniqueCount="78">
  <si>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</si>
  <si>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</si>
  <si>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</si>
  <si>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</si>
  <si>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</si>
  <si>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</si>
  <si>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</si>
  <si>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</si>
  <si>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</si>
  <si>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</si>
  <si>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</si>
  <si>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</si>
  <si>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</si>
  <si>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</si>
  <si>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</si>
  <si>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</si>
  <si>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</si>
  <si>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</si>
  <si>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</si>
  <si>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</si>
  <si>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</si>
  <si>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</si>
  <si>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</si>
  <si>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</si>
  <si>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</si>
  <si>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</si>
  <si>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</si>
  <si>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</si>
  <si>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</si>
  <si>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</si>
  <si>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</si>
  <si>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</si>
  <si>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</si>
  <si>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</si>
  <si>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</si>
  <si>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</si>
  <si>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</si>
  <si>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</si>
  <si>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</si>
  <si>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</si>
  <si>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</si>
  <si>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</si>
  <si>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</si>
  <si>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</si>
  <si>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</si>
  <si>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</si>
  <si>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</si>
  <si>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</si>
  <si>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</si>
  <si>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</si>
  <si>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</si>
  <si>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</si>
  <si>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</si>
  <si>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</si>
  <si>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Amisha Kumari</t>
  </si>
  <si>
    <t>okay</t>
  </si>
  <si>
    <t>satisfied</t>
  </si>
  <si>
    <t>medium</t>
  </si>
  <si>
    <t>Nothing special, all good</t>
  </si>
  <si>
    <t xml:space="preserve">MCA </t>
  </si>
  <si>
    <t>September</t>
  </si>
  <si>
    <t xml:space="preserve"> It was tiring but productive day</t>
  </si>
  <si>
    <t>low</t>
  </si>
  <si>
    <t>It was okay</t>
  </si>
  <si>
    <t>Peaceful day</t>
  </si>
  <si>
    <t>good</t>
  </si>
  <si>
    <t>Day went fine</t>
  </si>
  <si>
    <t>it was okay</t>
  </si>
  <si>
    <t>Today was simple and quiet</t>
  </si>
  <si>
    <t>It was just an average day</t>
  </si>
  <si>
    <t>The day was calm and okayish</t>
  </si>
  <si>
    <t>It was a refreshing day</t>
  </si>
  <si>
    <t>It was great day</t>
  </si>
  <si>
    <t>It was busy day</t>
  </si>
  <si>
    <t>it was busy day</t>
  </si>
  <si>
    <t>Today was little hectic</t>
  </si>
  <si>
    <t>great</t>
  </si>
  <si>
    <t>It was a pretty normal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</si>
</sst>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/>
    <xf numFmtId="0" fontId="0" fillId="0" borderId="0" xfId="0"/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/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0" xfId="0"/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0" xfId="0"/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3">
    <dxf>
      <font>
        <color rgb="FF9C0006"/>
        <name val="Arial"/>
      </font>
      <fill>
        <patternFill>
          <bgColor rgb="FFFFC7CE"/>
        </patternFill>
      </fill>
    </dxf>
    <dxf>
      <font>
        <color rgb="FF9C0006"/>
        <name val="Arial"/>
      </font>
      <fill>
        <patternFill>
          <bgColor rgb="FFFFC7CE"/>
        </patternFill>
      </fill>
    </dxf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2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B26" sqref="B26"/>
    </sheetView>
  </sheetViews>
  <sheetFormatPr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46" t="s">
        <v>29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</row>
    <row r="2" spans="1:14" ht="19.5" customHeight="1" x14ac:dyDescent="0.25">
      <c r="A2" s="6" t="s">
        <v>30</v>
      </c>
      <c r="B2" s="47" t="s">
        <v>54</v>
      </c>
      <c r="C2" s="47"/>
      <c r="D2" s="47"/>
      <c r="E2" s="6" t="s">
        <v>31</v>
      </c>
      <c r="F2" s="47">
        <v>12629031</v>
      </c>
      <c r="G2" s="47"/>
    </row>
    <row r="3" spans="1:14" ht="19.5" customHeight="1" x14ac:dyDescent="0.25">
      <c r="A3" s="6" t="s">
        <v>32</v>
      </c>
      <c r="B3" s="47" t="s">
        <v>59</v>
      </c>
      <c r="C3" s="47"/>
      <c r="D3" s="47"/>
      <c r="E3" s="6" t="s">
        <v>33</v>
      </c>
      <c r="F3" s="47" t="s">
        <v>60</v>
      </c>
      <c r="G3" s="47"/>
    </row>
    <row r="4" spans="1:14" x14ac:dyDescent="0.25">
      <c r="A4" s="45" t="s">
        <v>34</v>
      </c>
      <c r="B4" s="45"/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customHeight="1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25" si="0">IF(SUM(B6:F6,H6)=0,"",SUM(B6:F6,H6))</f>
        <v>885</v>
      </c>
      <c r="J6" s="10">
        <f t="shared" ref="J6:J25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9" customFormat="1" ht="15.75" customHeight="1" x14ac:dyDescent="0.25">
      <c r="A7" s="20">
        <v>46280</v>
      </c>
      <c r="B7" s="21">
        <v>400</v>
      </c>
      <c r="C7" s="21">
        <v>60</v>
      </c>
      <c r="D7" s="21">
        <v>130</v>
      </c>
      <c r="E7" s="21">
        <v>60</v>
      </c>
      <c r="F7" s="21">
        <v>420</v>
      </c>
      <c r="G7" s="21">
        <v>7</v>
      </c>
      <c r="H7" s="21">
        <v>60</v>
      </c>
      <c r="I7" s="22">
        <v>1130</v>
      </c>
      <c r="J7" s="22">
        <v>310</v>
      </c>
      <c r="K7" s="23" t="s">
        <v>65</v>
      </c>
      <c r="L7" s="23" t="s">
        <v>56</v>
      </c>
      <c r="M7" s="23" t="s">
        <v>57</v>
      </c>
      <c r="N7" s="24" t="s">
        <v>74</v>
      </c>
    </row>
    <row r="8" spans="1:14" s="18" customFormat="1" ht="15.75" customHeight="1" x14ac:dyDescent="0.25">
      <c r="A8" s="25">
        <v>46281</v>
      </c>
      <c r="B8" s="26">
        <v>430</v>
      </c>
      <c r="C8" s="26">
        <v>60</v>
      </c>
      <c r="D8" s="26">
        <v>170</v>
      </c>
      <c r="E8" s="26">
        <v>70</v>
      </c>
      <c r="F8" s="26">
        <v>360</v>
      </c>
      <c r="G8" s="26">
        <v>6</v>
      </c>
      <c r="H8" s="26">
        <v>60</v>
      </c>
      <c r="I8" s="27">
        <v>1150</v>
      </c>
      <c r="J8" s="27">
        <v>290</v>
      </c>
      <c r="K8" s="28" t="s">
        <v>55</v>
      </c>
      <c r="L8" s="28" t="s">
        <v>55</v>
      </c>
      <c r="M8" s="28" t="s">
        <v>62</v>
      </c>
      <c r="N8" s="29" t="s">
        <v>75</v>
      </c>
    </row>
    <row r="9" spans="1:14" s="18" customFormat="1" ht="15.75" customHeight="1" x14ac:dyDescent="0.25">
      <c r="A9" s="31">
        <v>46282</v>
      </c>
      <c r="B9" s="32">
        <v>460</v>
      </c>
      <c r="C9" s="32">
        <v>60</v>
      </c>
      <c r="D9" s="32">
        <v>200</v>
      </c>
      <c r="E9" s="32">
        <v>60</v>
      </c>
      <c r="F9" s="32">
        <v>180</v>
      </c>
      <c r="G9" s="32">
        <v>3</v>
      </c>
      <c r="H9" s="32">
        <v>60</v>
      </c>
      <c r="I9" s="33">
        <v>1020</v>
      </c>
      <c r="J9" s="33">
        <v>420</v>
      </c>
      <c r="K9" s="34" t="s">
        <v>55</v>
      </c>
      <c r="L9" s="34" t="s">
        <v>55</v>
      </c>
      <c r="M9" s="34" t="s">
        <v>57</v>
      </c>
      <c r="N9" s="30" t="s">
        <v>69</v>
      </c>
    </row>
    <row r="10" spans="1:14" s="18" customFormat="1" ht="15.75" customHeight="1" x14ac:dyDescent="0.25">
      <c r="A10" s="36">
        <v>46283</v>
      </c>
      <c r="B10" s="37">
        <v>450</v>
      </c>
      <c r="C10" s="37">
        <v>60</v>
      </c>
      <c r="D10" s="37">
        <v>250</v>
      </c>
      <c r="E10" s="37">
        <v>60</v>
      </c>
      <c r="F10" s="37">
        <v>300</v>
      </c>
      <c r="G10" s="37">
        <v>5</v>
      </c>
      <c r="H10" s="37">
        <v>80</v>
      </c>
      <c r="I10" s="38">
        <v>1200</v>
      </c>
      <c r="J10" s="38">
        <v>240</v>
      </c>
      <c r="K10" s="39" t="s">
        <v>55</v>
      </c>
      <c r="L10" s="39" t="s">
        <v>56</v>
      </c>
      <c r="M10" s="39" t="s">
        <v>57</v>
      </c>
      <c r="N10" s="35" t="s">
        <v>70</v>
      </c>
    </row>
    <row r="11" spans="1:14" s="18" customFormat="1" ht="15.75" customHeight="1" x14ac:dyDescent="0.25">
      <c r="A11" s="41">
        <v>46284</v>
      </c>
      <c r="B11" s="42">
        <v>450</v>
      </c>
      <c r="C11" s="42">
        <v>60</v>
      </c>
      <c r="D11" s="42">
        <v>250</v>
      </c>
      <c r="E11" s="42">
        <v>70</v>
      </c>
      <c r="F11" s="42">
        <v>0</v>
      </c>
      <c r="G11" s="42">
        <v>0</v>
      </c>
      <c r="H11" s="42">
        <v>60</v>
      </c>
      <c r="I11" s="43">
        <v>890</v>
      </c>
      <c r="J11" s="43">
        <v>550</v>
      </c>
      <c r="K11" s="44" t="s">
        <v>65</v>
      </c>
      <c r="L11" s="44" t="s">
        <v>56</v>
      </c>
      <c r="M11" s="44" t="s">
        <v>57</v>
      </c>
      <c r="N11" s="40" t="s">
        <v>71</v>
      </c>
    </row>
    <row r="12" spans="1:14" x14ac:dyDescent="0.25">
      <c r="A12" s="13">
        <v>46285</v>
      </c>
      <c r="B12" s="14">
        <v>460</v>
      </c>
      <c r="C12" s="14">
        <v>70</v>
      </c>
      <c r="D12" s="14">
        <v>300</v>
      </c>
      <c r="E12" s="14">
        <v>80</v>
      </c>
      <c r="F12" s="14">
        <v>0</v>
      </c>
      <c r="G12" s="14">
        <v>0</v>
      </c>
      <c r="H12" s="14">
        <v>80</v>
      </c>
      <c r="I12" s="15">
        <f t="shared" si="0"/>
        <v>990</v>
      </c>
      <c r="J12" s="15">
        <f t="shared" si="1"/>
        <v>450</v>
      </c>
      <c r="K12" s="16" t="s">
        <v>65</v>
      </c>
      <c r="L12" s="16" t="s">
        <v>56</v>
      </c>
      <c r="M12" s="16" t="s">
        <v>57</v>
      </c>
      <c r="N12" s="17" t="s">
        <v>72</v>
      </c>
    </row>
    <row r="13" spans="1:14" x14ac:dyDescent="0.25">
      <c r="A13" s="13">
        <v>46286</v>
      </c>
      <c r="B13" s="14">
        <v>450</v>
      </c>
      <c r="C13" s="14">
        <v>60</v>
      </c>
      <c r="D13" s="14">
        <v>150</v>
      </c>
      <c r="E13" s="14">
        <v>60</v>
      </c>
      <c r="F13" s="14">
        <v>360</v>
      </c>
      <c r="G13" s="14">
        <v>6</v>
      </c>
      <c r="H13" s="14">
        <v>60</v>
      </c>
      <c r="I13" s="15">
        <f t="shared" ref="I13:I23" si="2">IF(SUM(B13:F13,H13)=0,"",SUM(B13:F13,H13))</f>
        <v>1140</v>
      </c>
      <c r="J13" s="15">
        <f t="shared" ref="J13:J23" si="3">IF(I13="","",1440-I13)</f>
        <v>300</v>
      </c>
      <c r="K13" s="16" t="s">
        <v>55</v>
      </c>
      <c r="L13" s="16" t="s">
        <v>56</v>
      </c>
      <c r="M13" s="16" t="s">
        <v>57</v>
      </c>
      <c r="N13" s="17" t="s">
        <v>58</v>
      </c>
    </row>
    <row r="14" spans="1:14" x14ac:dyDescent="0.25">
      <c r="A14" s="13">
        <v>46287</v>
      </c>
      <c r="B14" s="14">
        <v>460</v>
      </c>
      <c r="C14" s="14">
        <v>50</v>
      </c>
      <c r="D14" s="14">
        <v>130</v>
      </c>
      <c r="E14" s="14">
        <v>60</v>
      </c>
      <c r="F14" s="14">
        <v>420</v>
      </c>
      <c r="G14" s="14">
        <v>7</v>
      </c>
      <c r="H14" s="14">
        <v>50</v>
      </c>
      <c r="I14" s="15">
        <f t="shared" si="2"/>
        <v>1170</v>
      </c>
      <c r="J14" s="15">
        <f t="shared" si="3"/>
        <v>270</v>
      </c>
      <c r="K14" s="16" t="s">
        <v>55</v>
      </c>
      <c r="L14" s="16" t="s">
        <v>56</v>
      </c>
      <c r="M14" s="16" t="s">
        <v>57</v>
      </c>
      <c r="N14" t="s">
        <v>61</v>
      </c>
    </row>
    <row r="15" spans="1:14" x14ac:dyDescent="0.25">
      <c r="A15" s="13">
        <v>46288</v>
      </c>
      <c r="B15" s="14">
        <v>450</v>
      </c>
      <c r="C15" s="14">
        <v>60</v>
      </c>
      <c r="D15" s="14">
        <v>120</v>
      </c>
      <c r="E15" s="14">
        <v>50</v>
      </c>
      <c r="F15" s="14">
        <v>360</v>
      </c>
      <c r="G15" s="14">
        <v>6</v>
      </c>
      <c r="H15" s="14">
        <v>60</v>
      </c>
      <c r="I15" s="15">
        <f t="shared" si="2"/>
        <v>1100</v>
      </c>
      <c r="J15" s="15">
        <f t="shared" si="3"/>
        <v>340</v>
      </c>
      <c r="K15" s="16" t="s">
        <v>55</v>
      </c>
      <c r="L15" s="16" t="s">
        <v>55</v>
      </c>
      <c r="M15" s="16" t="s">
        <v>62</v>
      </c>
      <c r="N15" s="17" t="s">
        <v>63</v>
      </c>
    </row>
    <row r="16" spans="1:14" x14ac:dyDescent="0.25">
      <c r="A16" s="13">
        <v>46289</v>
      </c>
      <c r="B16" s="14">
        <v>460</v>
      </c>
      <c r="C16" s="14">
        <v>30</v>
      </c>
      <c r="D16" s="14">
        <v>150</v>
      </c>
      <c r="E16" s="14">
        <v>50</v>
      </c>
      <c r="F16" s="14">
        <v>0</v>
      </c>
      <c r="G16" s="14">
        <v>0</v>
      </c>
      <c r="H16" s="14">
        <v>60</v>
      </c>
      <c r="I16" s="15">
        <f t="shared" si="2"/>
        <v>750</v>
      </c>
      <c r="J16" s="15">
        <f t="shared" si="3"/>
        <v>690</v>
      </c>
      <c r="K16" s="16" t="s">
        <v>55</v>
      </c>
      <c r="L16" s="16" t="s">
        <v>56</v>
      </c>
      <c r="M16" s="16" t="s">
        <v>57</v>
      </c>
      <c r="N16" t="s">
        <v>64</v>
      </c>
    </row>
    <row r="17" spans="1:14" x14ac:dyDescent="0.25">
      <c r="A17" s="13">
        <v>46290</v>
      </c>
      <c r="B17" s="14">
        <v>460</v>
      </c>
      <c r="C17" s="14">
        <v>60</v>
      </c>
      <c r="D17" s="14">
        <v>150</v>
      </c>
      <c r="E17" s="14">
        <v>60</v>
      </c>
      <c r="F17" s="14">
        <v>300</v>
      </c>
      <c r="G17" s="14">
        <v>5</v>
      </c>
      <c r="H17" s="14">
        <v>60</v>
      </c>
      <c r="I17" s="15">
        <f t="shared" si="2"/>
        <v>1090</v>
      </c>
      <c r="J17" s="15">
        <f t="shared" si="3"/>
        <v>350</v>
      </c>
      <c r="K17" s="16" t="s">
        <v>65</v>
      </c>
      <c r="L17" s="16" t="s">
        <v>56</v>
      </c>
      <c r="M17" s="16" t="s">
        <v>57</v>
      </c>
      <c r="N17" t="s">
        <v>66</v>
      </c>
    </row>
    <row r="18" spans="1:14" x14ac:dyDescent="0.25">
      <c r="A18" s="13">
        <v>46291</v>
      </c>
      <c r="B18" s="14">
        <v>450</v>
      </c>
      <c r="C18" s="14">
        <v>60</v>
      </c>
      <c r="D18" s="14">
        <v>200</v>
      </c>
      <c r="E18" s="14">
        <v>60</v>
      </c>
      <c r="F18" s="14">
        <v>180</v>
      </c>
      <c r="G18" s="14">
        <v>3</v>
      </c>
      <c r="H18" s="14">
        <v>60</v>
      </c>
      <c r="I18" s="15">
        <f t="shared" si="2"/>
        <v>1010</v>
      </c>
      <c r="J18" s="15">
        <f t="shared" si="3"/>
        <v>430</v>
      </c>
      <c r="K18" s="16" t="s">
        <v>65</v>
      </c>
      <c r="L18" s="16" t="s">
        <v>56</v>
      </c>
      <c r="M18" s="16" t="s">
        <v>57</v>
      </c>
      <c r="N18" s="17" t="s">
        <v>67</v>
      </c>
    </row>
    <row r="19" spans="1:14" x14ac:dyDescent="0.25">
      <c r="A19" s="13">
        <v>46292</v>
      </c>
      <c r="B19" s="14">
        <v>450</v>
      </c>
      <c r="C19" s="14">
        <v>60</v>
      </c>
      <c r="D19" s="14">
        <v>200</v>
      </c>
      <c r="E19" s="14">
        <v>70</v>
      </c>
      <c r="F19" s="14">
        <v>0</v>
      </c>
      <c r="G19" s="14">
        <v>0</v>
      </c>
      <c r="H19" s="14">
        <v>60</v>
      </c>
      <c r="I19" s="15">
        <f t="shared" si="2"/>
        <v>840</v>
      </c>
      <c r="J19" s="15">
        <f t="shared" si="3"/>
        <v>600</v>
      </c>
      <c r="K19" s="16" t="s">
        <v>55</v>
      </c>
      <c r="L19" s="16" t="s">
        <v>55</v>
      </c>
      <c r="M19" s="16" t="s">
        <v>62</v>
      </c>
      <c r="N19" s="17" t="s">
        <v>68</v>
      </c>
    </row>
    <row r="20" spans="1:14" x14ac:dyDescent="0.25">
      <c r="A20" s="13">
        <v>46293</v>
      </c>
      <c r="B20" s="14">
        <v>450</v>
      </c>
      <c r="C20" s="14">
        <v>60</v>
      </c>
      <c r="D20" s="14">
        <v>200</v>
      </c>
      <c r="E20" s="14">
        <v>60</v>
      </c>
      <c r="F20" s="14">
        <v>0</v>
      </c>
      <c r="G20" s="14">
        <v>0</v>
      </c>
      <c r="H20" s="14">
        <v>60</v>
      </c>
      <c r="I20" s="15">
        <f t="shared" si="2"/>
        <v>830</v>
      </c>
      <c r="J20" s="15">
        <f t="shared" si="3"/>
        <v>610</v>
      </c>
      <c r="K20" s="16" t="s">
        <v>55</v>
      </c>
      <c r="L20" s="16" t="s">
        <v>55</v>
      </c>
      <c r="M20" s="16" t="s">
        <v>57</v>
      </c>
      <c r="N20" t="s">
        <v>69</v>
      </c>
    </row>
    <row r="21" spans="1:14" x14ac:dyDescent="0.25">
      <c r="A21" s="13">
        <v>46294</v>
      </c>
      <c r="B21" s="14">
        <v>420</v>
      </c>
      <c r="C21" s="14">
        <v>60</v>
      </c>
      <c r="D21" s="14">
        <v>250</v>
      </c>
      <c r="E21" s="14">
        <v>60</v>
      </c>
      <c r="F21" s="14">
        <v>0</v>
      </c>
      <c r="G21" s="14">
        <v>0</v>
      </c>
      <c r="H21" s="14">
        <v>80</v>
      </c>
      <c r="I21" s="15">
        <f t="shared" si="2"/>
        <v>870</v>
      </c>
      <c r="J21" s="15">
        <f t="shared" si="3"/>
        <v>570</v>
      </c>
      <c r="K21" s="16" t="s">
        <v>55</v>
      </c>
      <c r="L21" s="16" t="s">
        <v>56</v>
      </c>
      <c r="M21" s="16" t="s">
        <v>57</v>
      </c>
      <c r="N21" t="s">
        <v>70</v>
      </c>
    </row>
    <row r="22" spans="1:14" x14ac:dyDescent="0.25">
      <c r="A22" s="13">
        <v>46295</v>
      </c>
      <c r="B22" s="14">
        <v>420</v>
      </c>
      <c r="C22" s="14">
        <v>60</v>
      </c>
      <c r="D22" s="14">
        <v>250</v>
      </c>
      <c r="E22" s="14">
        <v>70</v>
      </c>
      <c r="F22" s="14">
        <v>0</v>
      </c>
      <c r="G22" s="14">
        <v>0</v>
      </c>
      <c r="H22" s="14">
        <v>60</v>
      </c>
      <c r="I22" s="15">
        <f t="shared" si="2"/>
        <v>860</v>
      </c>
      <c r="J22" s="15">
        <f t="shared" si="3"/>
        <v>580</v>
      </c>
      <c r="K22" s="16" t="s">
        <v>65</v>
      </c>
      <c r="L22" s="16" t="s">
        <v>56</v>
      </c>
      <c r="M22" s="16" t="s">
        <v>57</v>
      </c>
      <c r="N22" t="s">
        <v>71</v>
      </c>
    </row>
    <row r="23" spans="1:14" x14ac:dyDescent="0.25">
      <c r="A23" s="13">
        <v>46296</v>
      </c>
      <c r="B23" s="14">
        <v>460</v>
      </c>
      <c r="C23" s="14">
        <v>70</v>
      </c>
      <c r="D23" s="14">
        <v>300</v>
      </c>
      <c r="E23" s="14">
        <v>80</v>
      </c>
      <c r="F23" s="14">
        <v>0</v>
      </c>
      <c r="G23" s="14">
        <v>0</v>
      </c>
      <c r="H23" s="14">
        <v>80</v>
      </c>
      <c r="I23" s="15">
        <f t="shared" si="2"/>
        <v>990</v>
      </c>
      <c r="J23" s="15">
        <f t="shared" si="3"/>
        <v>450</v>
      </c>
      <c r="K23" s="16" t="s">
        <v>65</v>
      </c>
      <c r="L23" s="16" t="s">
        <v>56</v>
      </c>
      <c r="M23" s="16" t="s">
        <v>57</v>
      </c>
      <c r="N23" s="17" t="s">
        <v>72</v>
      </c>
    </row>
    <row r="24" spans="1:14" x14ac:dyDescent="0.25">
      <c r="A24" s="13">
        <v>46297</v>
      </c>
      <c r="B24" s="14">
        <v>430</v>
      </c>
      <c r="C24" s="14">
        <v>60</v>
      </c>
      <c r="D24" s="14">
        <v>300</v>
      </c>
      <c r="E24" s="14">
        <v>50</v>
      </c>
      <c r="F24" s="14">
        <v>0</v>
      </c>
      <c r="G24" s="14">
        <v>0</v>
      </c>
      <c r="H24" s="14">
        <v>70</v>
      </c>
      <c r="I24" s="15">
        <f t="shared" si="0"/>
        <v>910</v>
      </c>
      <c r="J24" s="15">
        <f t="shared" si="1"/>
        <v>530</v>
      </c>
      <c r="K24" s="16" t="s">
        <v>65</v>
      </c>
      <c r="L24" s="16" t="s">
        <v>56</v>
      </c>
      <c r="M24" s="16" t="s">
        <v>57</v>
      </c>
      <c r="N24" s="17" t="s">
        <v>73</v>
      </c>
    </row>
    <row r="25" spans="1:14" x14ac:dyDescent="0.25">
      <c r="A25" s="13">
        <v>46298</v>
      </c>
      <c r="B25" s="14">
        <v>450</v>
      </c>
      <c r="C25" s="14">
        <v>60</v>
      </c>
      <c r="D25" s="14">
        <v>300</v>
      </c>
      <c r="E25" s="14">
        <v>60</v>
      </c>
      <c r="F25" s="14">
        <v>0</v>
      </c>
      <c r="G25" s="14">
        <v>0</v>
      </c>
      <c r="H25" s="14">
        <v>40</v>
      </c>
      <c r="I25" s="15">
        <f t="shared" si="0"/>
        <v>910</v>
      </c>
      <c r="J25" s="15">
        <f t="shared" si="1"/>
        <v>530</v>
      </c>
      <c r="K25" s="16" t="s">
        <v>65</v>
      </c>
      <c r="L25" s="16" t="s">
        <v>56</v>
      </c>
      <c r="M25" s="16" t="s">
        <v>57</v>
      </c>
      <c r="N25" s="17" t="s">
        <v>72</v>
      </c>
    </row>
    <row r="26" spans="1:14" x14ac:dyDescent="0.25">
      <c r="A26" s="13">
        <v>46299</v>
      </c>
      <c r="B26" s="14">
        <v>420</v>
      </c>
      <c r="C26" s="14">
        <v>40</v>
      </c>
      <c r="D26" s="14">
        <v>130</v>
      </c>
      <c r="E26" s="14">
        <v>60</v>
      </c>
      <c r="F26" s="14">
        <v>0</v>
      </c>
      <c r="G26" s="14">
        <v>0</v>
      </c>
      <c r="H26" s="14">
        <v>60</v>
      </c>
      <c r="I26" s="15">
        <f t="shared" ref="I26:I53" si="4">IF(SUM(B26:F26,H26)=0,"",SUM(B26:F26,H26))</f>
        <v>710</v>
      </c>
      <c r="J26" s="15">
        <f t="shared" ref="J26:J53" si="5">IF(I26="","",1440-I26)</f>
        <v>730</v>
      </c>
      <c r="K26" s="16" t="s">
        <v>76</v>
      </c>
      <c r="L26" s="16" t="s">
        <v>56</v>
      </c>
      <c r="M26" s="16" t="s">
        <v>57</v>
      </c>
      <c r="N26" s="17" t="s">
        <v>77</v>
      </c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4"/>
        <v/>
      </c>
      <c r="J27" s="15" t="str">
        <f t="shared" si="5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4"/>
        <v/>
      </c>
      <c r="J28" s="15" t="str">
        <f t="shared" si="5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4"/>
        <v/>
      </c>
      <c r="J29" s="15" t="str">
        <f t="shared" si="5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4"/>
        <v/>
      </c>
      <c r="J30" s="15" t="str">
        <f t="shared" si="5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4"/>
        <v/>
      </c>
      <c r="J31" s="15" t="str">
        <f t="shared" si="5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4"/>
        <v/>
      </c>
      <c r="J32" s="15" t="str">
        <f t="shared" si="5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4"/>
        <v/>
      </c>
      <c r="J33" s="15" t="str">
        <f t="shared" si="5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4"/>
        <v/>
      </c>
      <c r="J34" s="15" t="str">
        <f t="shared" si="5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4"/>
        <v/>
      </c>
      <c r="J35" s="15" t="str">
        <f t="shared" si="5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4"/>
        <v/>
      </c>
      <c r="J36" s="15" t="str">
        <f t="shared" si="5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4"/>
        <v/>
      </c>
      <c r="J37" s="15" t="str">
        <f t="shared" si="5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4"/>
        <v/>
      </c>
      <c r="J38" s="15" t="str">
        <f t="shared" si="5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4"/>
        <v/>
      </c>
      <c r="J39" s="15" t="str">
        <f t="shared" si="5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4"/>
        <v/>
      </c>
      <c r="J40" s="15" t="str">
        <f t="shared" si="5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4"/>
        <v/>
      </c>
      <c r="J41" s="15" t="str">
        <f t="shared" si="5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4"/>
        <v/>
      </c>
      <c r="J42" s="15" t="str">
        <f t="shared" si="5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4"/>
        <v/>
      </c>
      <c r="J43" s="15" t="str">
        <f t="shared" si="5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4"/>
        <v/>
      </c>
      <c r="J44" s="15" t="str">
        <f t="shared" si="5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4"/>
        <v/>
      </c>
      <c r="J45" s="15" t="str">
        <f t="shared" si="5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4"/>
        <v/>
      </c>
      <c r="J46" s="15" t="str">
        <f t="shared" si="5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4"/>
        <v/>
      </c>
      <c r="J47" s="15" t="str">
        <f t="shared" si="5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4"/>
        <v/>
      </c>
      <c r="J48" s="15" t="str">
        <f t="shared" si="5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4"/>
        <v/>
      </c>
      <c r="J49" s="15" t="str">
        <f t="shared" si="5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4"/>
        <v/>
      </c>
      <c r="J50" s="15" t="str">
        <f t="shared" si="5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4"/>
        <v/>
      </c>
      <c r="J51" s="15" t="str">
        <f t="shared" si="5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4"/>
        <v/>
      </c>
      <c r="J52" s="15" t="str">
        <f t="shared" si="5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4"/>
        <v/>
      </c>
      <c r="J53" s="15" t="str">
        <f t="shared" si="5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ref="I54:I117" si="6">IF(SUM(B54:F54,H54)=0,"",SUM(B54:F54,H54))</f>
        <v/>
      </c>
      <c r="J54" s="15" t="str">
        <f t="shared" ref="J54:J117" si="7">IF(I54="","",1440-I54)</f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6"/>
        <v/>
      </c>
      <c r="J55" s="15" t="str">
        <f t="shared" si="7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6"/>
        <v/>
      </c>
      <c r="J56" s="15" t="str">
        <f t="shared" si="7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6"/>
        <v/>
      </c>
      <c r="J57" s="15" t="str">
        <f t="shared" si="7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6"/>
        <v/>
      </c>
      <c r="J58" s="15" t="str">
        <f t="shared" si="7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6"/>
        <v/>
      </c>
      <c r="J59" s="15" t="str">
        <f t="shared" si="7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6"/>
        <v/>
      </c>
      <c r="J60" s="15" t="str">
        <f t="shared" si="7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6"/>
        <v/>
      </c>
      <c r="J61" s="15" t="str">
        <f t="shared" si="7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6"/>
        <v/>
      </c>
      <c r="J62" s="15" t="str">
        <f t="shared" si="7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6"/>
        <v/>
      </c>
      <c r="J63" s="15" t="str">
        <f t="shared" si="7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6"/>
        <v/>
      </c>
      <c r="J64" s="15" t="str">
        <f t="shared" si="7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6"/>
        <v/>
      </c>
      <c r="J65" s="15" t="str">
        <f t="shared" si="7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6"/>
        <v/>
      </c>
      <c r="J66" s="15" t="str">
        <f t="shared" si="7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6"/>
        <v/>
      </c>
      <c r="J67" s="15" t="str">
        <f t="shared" si="7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6"/>
        <v/>
      </c>
      <c r="J68" s="15" t="str">
        <f t="shared" si="7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6"/>
        <v/>
      </c>
      <c r="J69" s="15" t="str">
        <f t="shared" si="7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si="6"/>
        <v/>
      </c>
      <c r="J70" s="15" t="str">
        <f t="shared" si="7"/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6"/>
        <v/>
      </c>
      <c r="J71" s="15" t="str">
        <f t="shared" si="7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6"/>
        <v/>
      </c>
      <c r="J72" s="15" t="str">
        <f t="shared" si="7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6"/>
        <v/>
      </c>
      <c r="J73" s="15" t="str">
        <f t="shared" si="7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6"/>
        <v/>
      </c>
      <c r="J74" s="15" t="str">
        <f t="shared" si="7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6"/>
        <v/>
      </c>
      <c r="J75" s="15" t="str">
        <f t="shared" si="7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6"/>
        <v/>
      </c>
      <c r="J76" s="15" t="str">
        <f t="shared" si="7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6"/>
        <v/>
      </c>
      <c r="J77" s="15" t="str">
        <f t="shared" si="7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6"/>
        <v/>
      </c>
      <c r="J78" s="15" t="str">
        <f t="shared" si="7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6"/>
        <v/>
      </c>
      <c r="J79" s="15" t="str">
        <f t="shared" si="7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6"/>
        <v/>
      </c>
      <c r="J80" s="15" t="str">
        <f t="shared" si="7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6"/>
        <v/>
      </c>
      <c r="J81" s="15" t="str">
        <f t="shared" si="7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6"/>
        <v/>
      </c>
      <c r="J82" s="15" t="str">
        <f t="shared" si="7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6"/>
        <v/>
      </c>
      <c r="J83" s="15" t="str">
        <f t="shared" si="7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6"/>
        <v/>
      </c>
      <c r="J84" s="15" t="str">
        <f t="shared" si="7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6"/>
        <v/>
      </c>
      <c r="J85" s="15" t="str">
        <f t="shared" si="7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6"/>
        <v/>
      </c>
      <c r="J86" s="15" t="str">
        <f t="shared" si="7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6"/>
        <v/>
      </c>
      <c r="J87" s="15" t="str">
        <f t="shared" si="7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6"/>
        <v/>
      </c>
      <c r="J88" s="15" t="str">
        <f t="shared" si="7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6"/>
        <v/>
      </c>
      <c r="J89" s="15" t="str">
        <f t="shared" si="7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6"/>
        <v/>
      </c>
      <c r="J90" s="15" t="str">
        <f t="shared" si="7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6"/>
        <v/>
      </c>
      <c r="J91" s="15" t="str">
        <f t="shared" si="7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6"/>
        <v/>
      </c>
      <c r="J92" s="15" t="str">
        <f t="shared" si="7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6"/>
        <v/>
      </c>
      <c r="J93" s="15" t="str">
        <f t="shared" si="7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6"/>
        <v/>
      </c>
      <c r="J94" s="15" t="str">
        <f t="shared" si="7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6"/>
        <v/>
      </c>
      <c r="J95" s="15" t="str">
        <f t="shared" si="7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6"/>
        <v/>
      </c>
      <c r="J96" s="15" t="str">
        <f t="shared" si="7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6"/>
        <v/>
      </c>
      <c r="J97" s="15" t="str">
        <f t="shared" si="7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6"/>
        <v/>
      </c>
      <c r="J98" s="15" t="str">
        <f t="shared" si="7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6"/>
        <v/>
      </c>
      <c r="J99" s="15" t="str">
        <f t="shared" si="7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6"/>
        <v/>
      </c>
      <c r="J100" s="15" t="str">
        <f t="shared" si="7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6"/>
        <v/>
      </c>
      <c r="J101" s="15" t="str">
        <f t="shared" si="7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6"/>
        <v/>
      </c>
      <c r="J102" s="15" t="str">
        <f t="shared" si="7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6"/>
        <v/>
      </c>
      <c r="J103" s="15" t="str">
        <f t="shared" si="7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6"/>
        <v/>
      </c>
      <c r="J104" s="15" t="str">
        <f t="shared" si="7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6"/>
        <v/>
      </c>
      <c r="J105" s="15" t="str">
        <f t="shared" si="7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6"/>
        <v/>
      </c>
      <c r="J106" s="15" t="str">
        <f t="shared" si="7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6"/>
        <v/>
      </c>
      <c r="J107" s="15" t="str">
        <f t="shared" si="7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6"/>
        <v/>
      </c>
      <c r="J108" s="15" t="str">
        <f t="shared" si="7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6"/>
        <v/>
      </c>
      <c r="J109" s="15" t="str">
        <f t="shared" si="7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6"/>
        <v/>
      </c>
      <c r="J110" s="15" t="str">
        <f t="shared" si="7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6"/>
        <v/>
      </c>
      <c r="J111" s="15" t="str">
        <f t="shared" si="7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6"/>
        <v/>
      </c>
      <c r="J112" s="15" t="str">
        <f t="shared" si="7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6"/>
        <v/>
      </c>
      <c r="J113" s="15" t="str">
        <f t="shared" si="7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6"/>
        <v/>
      </c>
      <c r="J114" s="15" t="str">
        <f t="shared" si="7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6"/>
        <v/>
      </c>
      <c r="J115" s="15" t="str">
        <f t="shared" si="7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6"/>
        <v/>
      </c>
      <c r="J116" s="15" t="str">
        <f t="shared" si="7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6"/>
        <v/>
      </c>
      <c r="J117" s="15" t="str">
        <f t="shared" si="7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ref="I118:I181" si="8">IF(SUM(B118:F118,H118)=0,"",SUM(B118:F118,H118))</f>
        <v/>
      </c>
      <c r="J118" s="15" t="str">
        <f t="shared" ref="J118:J181" si="9">IF(I118="","",1440-I118)</f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8"/>
        <v/>
      </c>
      <c r="J119" s="15" t="str">
        <f t="shared" si="9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8"/>
        <v/>
      </c>
      <c r="J120" s="15" t="str">
        <f t="shared" si="9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8"/>
        <v/>
      </c>
      <c r="J121" s="15" t="str">
        <f t="shared" si="9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8"/>
        <v/>
      </c>
      <c r="J122" s="15" t="str">
        <f t="shared" si="9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8"/>
        <v/>
      </c>
      <c r="J123" s="15" t="str">
        <f t="shared" si="9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8"/>
        <v/>
      </c>
      <c r="J124" s="15" t="str">
        <f t="shared" si="9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8"/>
        <v/>
      </c>
      <c r="J125" s="15" t="str">
        <f t="shared" si="9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8"/>
        <v/>
      </c>
      <c r="J126" s="15" t="str">
        <f t="shared" si="9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8"/>
        <v/>
      </c>
      <c r="J127" s="15" t="str">
        <f t="shared" si="9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8"/>
        <v/>
      </c>
      <c r="J128" s="15" t="str">
        <f t="shared" si="9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8"/>
        <v/>
      </c>
      <c r="J129" s="15" t="str">
        <f t="shared" si="9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8"/>
        <v/>
      </c>
      <c r="J130" s="15" t="str">
        <f t="shared" si="9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8"/>
        <v/>
      </c>
      <c r="J131" s="15" t="str">
        <f t="shared" si="9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8"/>
        <v/>
      </c>
      <c r="J132" s="15" t="str">
        <f t="shared" si="9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8"/>
        <v/>
      </c>
      <c r="J133" s="15" t="str">
        <f t="shared" si="9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si="8"/>
        <v/>
      </c>
      <c r="J134" s="15" t="str">
        <f t="shared" si="9"/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8"/>
        <v/>
      </c>
      <c r="J135" s="15" t="str">
        <f t="shared" si="9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8"/>
        <v/>
      </c>
      <c r="J136" s="15" t="str">
        <f t="shared" si="9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8"/>
        <v/>
      </c>
      <c r="J137" s="15" t="str">
        <f t="shared" si="9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8"/>
        <v/>
      </c>
      <c r="J138" s="15" t="str">
        <f t="shared" si="9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8"/>
        <v/>
      </c>
      <c r="J139" s="15" t="str">
        <f t="shared" si="9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8"/>
        <v/>
      </c>
      <c r="J140" s="15" t="str">
        <f t="shared" si="9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8"/>
        <v/>
      </c>
      <c r="J141" s="15" t="str">
        <f t="shared" si="9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8"/>
        <v/>
      </c>
      <c r="J142" s="15" t="str">
        <f t="shared" si="9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8"/>
        <v/>
      </c>
      <c r="J143" s="15" t="str">
        <f t="shared" si="9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8"/>
        <v/>
      </c>
      <c r="J144" s="15" t="str">
        <f t="shared" si="9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8"/>
        <v/>
      </c>
      <c r="J145" s="15" t="str">
        <f t="shared" si="9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8"/>
        <v/>
      </c>
      <c r="J146" s="15" t="str">
        <f t="shared" si="9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8"/>
        <v/>
      </c>
      <c r="J147" s="15" t="str">
        <f t="shared" si="9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8"/>
        <v/>
      </c>
      <c r="J148" s="15" t="str">
        <f t="shared" si="9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8"/>
        <v/>
      </c>
      <c r="J149" s="15" t="str">
        <f t="shared" si="9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8"/>
        <v/>
      </c>
      <c r="J150" s="15" t="str">
        <f t="shared" si="9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8"/>
        <v/>
      </c>
      <c r="J151" s="15" t="str">
        <f t="shared" si="9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8"/>
        <v/>
      </c>
      <c r="J152" s="15" t="str">
        <f t="shared" si="9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8"/>
        <v/>
      </c>
      <c r="J153" s="15" t="str">
        <f t="shared" si="9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8"/>
        <v/>
      </c>
      <c r="J154" s="15" t="str">
        <f t="shared" si="9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8"/>
        <v/>
      </c>
      <c r="J155" s="15" t="str">
        <f t="shared" si="9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8"/>
        <v/>
      </c>
      <c r="J156" s="15" t="str">
        <f t="shared" si="9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8"/>
        <v/>
      </c>
      <c r="J157" s="15" t="str">
        <f t="shared" si="9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8"/>
        <v/>
      </c>
      <c r="J158" s="15" t="str">
        <f t="shared" si="9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8"/>
        <v/>
      </c>
      <c r="J159" s="15" t="str">
        <f t="shared" si="9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8"/>
        <v/>
      </c>
      <c r="J160" s="15" t="str">
        <f t="shared" si="9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8"/>
        <v/>
      </c>
      <c r="J161" s="15" t="str">
        <f t="shared" si="9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8"/>
        <v/>
      </c>
      <c r="J162" s="15" t="str">
        <f t="shared" si="9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8"/>
        <v/>
      </c>
      <c r="J163" s="15" t="str">
        <f t="shared" si="9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8"/>
        <v/>
      </c>
      <c r="J164" s="15" t="str">
        <f t="shared" si="9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8"/>
        <v/>
      </c>
      <c r="J165" s="15" t="str">
        <f t="shared" si="9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8"/>
        <v/>
      </c>
      <c r="J166" s="15" t="str">
        <f t="shared" si="9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8"/>
        <v/>
      </c>
      <c r="J167" s="15" t="str">
        <f t="shared" si="9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8"/>
        <v/>
      </c>
      <c r="J168" s="15" t="str">
        <f t="shared" si="9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8"/>
        <v/>
      </c>
      <c r="J169" s="15" t="str">
        <f t="shared" si="9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8"/>
        <v/>
      </c>
      <c r="J170" s="15" t="str">
        <f t="shared" si="9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8"/>
        <v/>
      </c>
      <c r="J171" s="15" t="str">
        <f t="shared" si="9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8"/>
        <v/>
      </c>
      <c r="J172" s="15" t="str">
        <f t="shared" si="9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8"/>
        <v/>
      </c>
      <c r="J173" s="15" t="str">
        <f t="shared" si="9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8"/>
        <v/>
      </c>
      <c r="J174" s="15" t="str">
        <f t="shared" si="9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8"/>
        <v/>
      </c>
      <c r="J175" s="15" t="str">
        <f t="shared" si="9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8"/>
        <v/>
      </c>
      <c r="J176" s="15" t="str">
        <f t="shared" si="9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8"/>
        <v/>
      </c>
      <c r="J177" s="15" t="str">
        <f t="shared" si="9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8"/>
        <v/>
      </c>
      <c r="J178" s="15" t="str">
        <f t="shared" si="9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8"/>
        <v/>
      </c>
      <c r="J179" s="15" t="str">
        <f t="shared" si="9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8"/>
        <v/>
      </c>
      <c r="J180" s="15" t="str">
        <f t="shared" si="9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8"/>
        <v/>
      </c>
      <c r="J181" s="15" t="str">
        <f t="shared" si="9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ref="I182:I245" si="10">IF(SUM(B182:F182,H182)=0,"",SUM(B182:F182,H182))</f>
        <v/>
      </c>
      <c r="J182" s="15" t="str">
        <f t="shared" ref="J182:J245" si="11">IF(I182="","",1440-I182)</f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0"/>
        <v/>
      </c>
      <c r="J183" s="15" t="str">
        <f t="shared" si="11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0"/>
        <v/>
      </c>
      <c r="J184" s="15" t="str">
        <f t="shared" si="11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0"/>
        <v/>
      </c>
      <c r="J185" s="15" t="str">
        <f t="shared" si="11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0"/>
        <v/>
      </c>
      <c r="J186" s="15" t="str">
        <f t="shared" si="11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0"/>
        <v/>
      </c>
      <c r="J187" s="15" t="str">
        <f t="shared" si="11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0"/>
        <v/>
      </c>
      <c r="J188" s="15" t="str">
        <f t="shared" si="11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0"/>
        <v/>
      </c>
      <c r="J189" s="15" t="str">
        <f t="shared" si="11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0"/>
        <v/>
      </c>
      <c r="J190" s="15" t="str">
        <f t="shared" si="11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0"/>
        <v/>
      </c>
      <c r="J191" s="15" t="str">
        <f t="shared" si="11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0"/>
        <v/>
      </c>
      <c r="J192" s="15" t="str">
        <f t="shared" si="11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0"/>
        <v/>
      </c>
      <c r="J193" s="15" t="str">
        <f t="shared" si="11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0"/>
        <v/>
      </c>
      <c r="J194" s="15" t="str">
        <f t="shared" si="11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0"/>
        <v/>
      </c>
      <c r="J195" s="15" t="str">
        <f t="shared" si="11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0"/>
        <v/>
      </c>
      <c r="J196" s="15" t="str">
        <f t="shared" si="11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0"/>
        <v/>
      </c>
      <c r="J197" s="15" t="str">
        <f t="shared" si="11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si="10"/>
        <v/>
      </c>
      <c r="J198" s="15" t="str">
        <f t="shared" si="11"/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0"/>
        <v/>
      </c>
      <c r="J199" s="15" t="str">
        <f t="shared" si="11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0"/>
        <v/>
      </c>
      <c r="J200" s="15" t="str">
        <f t="shared" si="11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0"/>
        <v/>
      </c>
      <c r="J201" s="15" t="str">
        <f t="shared" si="11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0"/>
        <v/>
      </c>
      <c r="J202" s="15" t="str">
        <f t="shared" si="11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0"/>
        <v/>
      </c>
      <c r="J203" s="15" t="str">
        <f t="shared" si="11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0"/>
        <v/>
      </c>
      <c r="J204" s="15" t="str">
        <f t="shared" si="11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0"/>
        <v/>
      </c>
      <c r="J205" s="15" t="str">
        <f t="shared" si="11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0"/>
        <v/>
      </c>
      <c r="J206" s="15" t="str">
        <f t="shared" si="11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0"/>
        <v/>
      </c>
      <c r="J207" s="15" t="str">
        <f t="shared" si="11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0"/>
        <v/>
      </c>
      <c r="J208" s="15" t="str">
        <f t="shared" si="11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0"/>
        <v/>
      </c>
      <c r="J209" s="15" t="str">
        <f t="shared" si="11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0"/>
        <v/>
      </c>
      <c r="J210" s="15" t="str">
        <f t="shared" si="11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0"/>
        <v/>
      </c>
      <c r="J211" s="15" t="str">
        <f t="shared" si="11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0"/>
        <v/>
      </c>
      <c r="J212" s="15" t="str">
        <f t="shared" si="11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0"/>
        <v/>
      </c>
      <c r="J213" s="15" t="str">
        <f t="shared" si="11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0"/>
        <v/>
      </c>
      <c r="J214" s="15" t="str">
        <f t="shared" si="11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0"/>
        <v/>
      </c>
      <c r="J215" s="15" t="str">
        <f t="shared" si="11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0"/>
        <v/>
      </c>
      <c r="J216" s="15" t="str">
        <f t="shared" si="11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0"/>
        <v/>
      </c>
      <c r="J217" s="15" t="str">
        <f t="shared" si="11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0"/>
        <v/>
      </c>
      <c r="J218" s="15" t="str">
        <f t="shared" si="11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0"/>
        <v/>
      </c>
      <c r="J219" s="15" t="str">
        <f t="shared" si="11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0"/>
        <v/>
      </c>
      <c r="J220" s="15" t="str">
        <f t="shared" si="11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0"/>
        <v/>
      </c>
      <c r="J221" s="15" t="str">
        <f t="shared" si="11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0"/>
        <v/>
      </c>
      <c r="J222" s="15" t="str">
        <f t="shared" si="11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0"/>
        <v/>
      </c>
      <c r="J223" s="15" t="str">
        <f t="shared" si="11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0"/>
        <v/>
      </c>
      <c r="J224" s="15" t="str">
        <f t="shared" si="11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0"/>
        <v/>
      </c>
      <c r="J225" s="15" t="str">
        <f t="shared" si="11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0"/>
        <v/>
      </c>
      <c r="J226" s="15" t="str">
        <f t="shared" si="11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0"/>
        <v/>
      </c>
      <c r="J227" s="15" t="str">
        <f t="shared" si="11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0"/>
        <v/>
      </c>
      <c r="J228" s="15" t="str">
        <f t="shared" si="11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0"/>
        <v/>
      </c>
      <c r="J229" s="15" t="str">
        <f t="shared" si="11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0"/>
        <v/>
      </c>
      <c r="J230" s="15" t="str">
        <f t="shared" si="11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0"/>
        <v/>
      </c>
      <c r="J231" s="15" t="str">
        <f t="shared" si="11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0"/>
        <v/>
      </c>
      <c r="J232" s="15" t="str">
        <f t="shared" si="11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0"/>
        <v/>
      </c>
      <c r="J233" s="15" t="str">
        <f t="shared" si="11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0"/>
        <v/>
      </c>
      <c r="J234" s="15" t="str">
        <f t="shared" si="11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0"/>
        <v/>
      </c>
      <c r="J235" s="15" t="str">
        <f t="shared" si="11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0"/>
        <v/>
      </c>
      <c r="J236" s="15" t="str">
        <f t="shared" si="11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0"/>
        <v/>
      </c>
      <c r="J237" s="15" t="str">
        <f t="shared" si="11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0"/>
        <v/>
      </c>
      <c r="J238" s="15" t="str">
        <f t="shared" si="11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0"/>
        <v/>
      </c>
      <c r="J239" s="15" t="str">
        <f t="shared" si="11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0"/>
        <v/>
      </c>
      <c r="J240" s="15" t="str">
        <f t="shared" si="11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0"/>
        <v/>
      </c>
      <c r="J241" s="15" t="str">
        <f t="shared" si="11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0"/>
        <v/>
      </c>
      <c r="J242" s="15" t="str">
        <f t="shared" si="11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0"/>
        <v/>
      </c>
      <c r="J243" s="15" t="str">
        <f t="shared" si="11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0"/>
        <v/>
      </c>
      <c r="J244" s="15" t="str">
        <f t="shared" si="11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0"/>
        <v/>
      </c>
      <c r="J245" s="15" t="str">
        <f t="shared" si="11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ref="I246:I309" si="12">IF(SUM(B246:F246,H246)=0,"",SUM(B246:F246,H246))</f>
        <v/>
      </c>
      <c r="J246" s="15" t="str">
        <f t="shared" ref="J246:J309" si="13">IF(I246="","",1440-I246)</f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2"/>
        <v/>
      </c>
      <c r="J247" s="15" t="str">
        <f t="shared" si="13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2"/>
        <v/>
      </c>
      <c r="J248" s="15" t="str">
        <f t="shared" si="13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2"/>
        <v/>
      </c>
      <c r="J249" s="15" t="str">
        <f t="shared" si="13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2"/>
        <v/>
      </c>
      <c r="J250" s="15" t="str">
        <f t="shared" si="13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2"/>
        <v/>
      </c>
      <c r="J251" s="15" t="str">
        <f t="shared" si="13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2"/>
        <v/>
      </c>
      <c r="J252" s="15" t="str">
        <f t="shared" si="13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2"/>
        <v/>
      </c>
      <c r="J253" s="15" t="str">
        <f t="shared" si="13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2"/>
        <v/>
      </c>
      <c r="J254" s="15" t="str">
        <f t="shared" si="13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2"/>
        <v/>
      </c>
      <c r="J255" s="15" t="str">
        <f t="shared" si="13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2"/>
        <v/>
      </c>
      <c r="J256" s="15" t="str">
        <f t="shared" si="13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2"/>
        <v/>
      </c>
      <c r="J257" s="15" t="str">
        <f t="shared" si="13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2"/>
        <v/>
      </c>
      <c r="J258" s="15" t="str">
        <f t="shared" si="13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2"/>
        <v/>
      </c>
      <c r="J259" s="15" t="str">
        <f t="shared" si="13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2"/>
        <v/>
      </c>
      <c r="J260" s="15" t="str">
        <f t="shared" si="13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2"/>
        <v/>
      </c>
      <c r="J261" s="15" t="str">
        <f t="shared" si="13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si="12"/>
        <v/>
      </c>
      <c r="J262" s="15" t="str">
        <f t="shared" si="13"/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2"/>
        <v/>
      </c>
      <c r="J263" s="15" t="str">
        <f t="shared" si="13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2"/>
        <v/>
      </c>
      <c r="J264" s="15" t="str">
        <f t="shared" si="13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2"/>
        <v/>
      </c>
      <c r="J265" s="15" t="str">
        <f t="shared" si="13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2"/>
        <v/>
      </c>
      <c r="J266" s="15" t="str">
        <f t="shared" si="13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2"/>
        <v/>
      </c>
      <c r="J267" s="15" t="str">
        <f t="shared" si="13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2"/>
        <v/>
      </c>
      <c r="J268" s="15" t="str">
        <f t="shared" si="13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2"/>
        <v/>
      </c>
      <c r="J269" s="15" t="str">
        <f t="shared" si="13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2"/>
        <v/>
      </c>
      <c r="J270" s="15" t="str">
        <f t="shared" si="13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2"/>
        <v/>
      </c>
      <c r="J271" s="15" t="str">
        <f t="shared" si="13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2"/>
        <v/>
      </c>
      <c r="J272" s="15" t="str">
        <f t="shared" si="13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2"/>
        <v/>
      </c>
      <c r="J273" s="15" t="str">
        <f t="shared" si="13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2"/>
        <v/>
      </c>
      <c r="J274" s="15" t="str">
        <f t="shared" si="13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2"/>
        <v/>
      </c>
      <c r="J275" s="15" t="str">
        <f t="shared" si="13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2"/>
        <v/>
      </c>
      <c r="J276" s="15" t="str">
        <f t="shared" si="13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2"/>
        <v/>
      </c>
      <c r="J277" s="15" t="str">
        <f t="shared" si="13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2"/>
        <v/>
      </c>
      <c r="J278" s="15" t="str">
        <f t="shared" si="13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2"/>
        <v/>
      </c>
      <c r="J279" s="15" t="str">
        <f t="shared" si="13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2"/>
        <v/>
      </c>
      <c r="J280" s="15" t="str">
        <f t="shared" si="13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2"/>
        <v/>
      </c>
      <c r="J281" s="15" t="str">
        <f t="shared" si="13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2"/>
        <v/>
      </c>
      <c r="J282" s="15" t="str">
        <f t="shared" si="13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2"/>
        <v/>
      </c>
      <c r="J283" s="15" t="str">
        <f t="shared" si="13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2"/>
        <v/>
      </c>
      <c r="J284" s="15" t="str">
        <f t="shared" si="13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2"/>
        <v/>
      </c>
      <c r="J285" s="15" t="str">
        <f t="shared" si="13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2"/>
        <v/>
      </c>
      <c r="J286" s="15" t="str">
        <f t="shared" si="13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2"/>
        <v/>
      </c>
      <c r="J287" s="15" t="str">
        <f t="shared" si="13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2"/>
        <v/>
      </c>
      <c r="J288" s="15" t="str">
        <f t="shared" si="13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2"/>
        <v/>
      </c>
      <c r="J289" s="15" t="str">
        <f t="shared" si="13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2"/>
        <v/>
      </c>
      <c r="J290" s="15" t="str">
        <f t="shared" si="13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2"/>
        <v/>
      </c>
      <c r="J291" s="15" t="str">
        <f t="shared" si="13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2"/>
        <v/>
      </c>
      <c r="J292" s="15" t="str">
        <f t="shared" si="13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2"/>
        <v/>
      </c>
      <c r="J293" s="15" t="str">
        <f t="shared" si="13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2"/>
        <v/>
      </c>
      <c r="J294" s="15" t="str">
        <f t="shared" si="13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2"/>
        <v/>
      </c>
      <c r="J295" s="15" t="str">
        <f t="shared" si="13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2"/>
        <v/>
      </c>
      <c r="J296" s="15" t="str">
        <f t="shared" si="13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2"/>
        <v/>
      </c>
      <c r="J297" s="15" t="str">
        <f t="shared" si="13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2"/>
        <v/>
      </c>
      <c r="J298" s="15" t="str">
        <f t="shared" si="13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2"/>
        <v/>
      </c>
      <c r="J299" s="15" t="str">
        <f t="shared" si="13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2"/>
        <v/>
      </c>
      <c r="J300" s="15" t="str">
        <f t="shared" si="13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2"/>
        <v/>
      </c>
      <c r="J301" s="15" t="str">
        <f t="shared" si="13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2"/>
        <v/>
      </c>
      <c r="J302" s="15" t="str">
        <f t="shared" si="13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2"/>
        <v/>
      </c>
      <c r="J303" s="15" t="str">
        <f t="shared" si="13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2"/>
        <v/>
      </c>
      <c r="J304" s="15" t="str">
        <f t="shared" si="13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2"/>
        <v/>
      </c>
      <c r="J305" s="15" t="str">
        <f t="shared" si="13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2"/>
        <v/>
      </c>
      <c r="J306" s="15" t="str">
        <f t="shared" si="13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2"/>
        <v/>
      </c>
      <c r="J307" s="15" t="str">
        <f t="shared" si="13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2"/>
        <v/>
      </c>
      <c r="J308" s="15" t="str">
        <f t="shared" si="13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2"/>
        <v/>
      </c>
      <c r="J309" s="15" t="str">
        <f t="shared" si="13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ref="I310:I321" si="14">IF(SUM(B310:F310,H310)=0,"",SUM(B310:F310,H310))</f>
        <v/>
      </c>
      <c r="J310" s="15" t="str">
        <f t="shared" ref="J310:J321" si="15">IF(I310="","",1440-I310)</f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4"/>
        <v/>
      </c>
      <c r="J311" s="15" t="str">
        <f t="shared" si="15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4"/>
        <v/>
      </c>
      <c r="J312" s="15" t="str">
        <f t="shared" si="15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4"/>
        <v/>
      </c>
      <c r="J313" s="15" t="str">
        <f t="shared" si="15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4"/>
        <v/>
      </c>
      <c r="J314" s="15" t="str">
        <f t="shared" si="15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4"/>
        <v/>
      </c>
      <c r="J315" s="15" t="str">
        <f t="shared" si="15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4"/>
        <v/>
      </c>
      <c r="J316" s="15" t="str">
        <f t="shared" si="15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4"/>
        <v/>
      </c>
      <c r="J317" s="15" t="str">
        <f t="shared" si="15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4"/>
        <v/>
      </c>
      <c r="J318" s="15" t="str">
        <f t="shared" si="15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4"/>
        <v/>
      </c>
      <c r="J319" s="15" t="str">
        <f t="shared" si="15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4"/>
        <v/>
      </c>
      <c r="J320" s="15" t="str">
        <f t="shared" si="15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4"/>
        <v/>
      </c>
      <c r="J321" s="15" t="str">
        <f t="shared" si="15"/>
        <v/>
      </c>
      <c r="K321" s="16"/>
      <c r="L321" s="16"/>
      <c r="M321" s="16"/>
      <c r="N32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 J8:J12 J24:J321">
    <cfRule type="cellIs" dxfId="2" priority="4" operator="lessThan">
      <formula>0</formula>
    </cfRule>
  </conditionalFormatting>
  <conditionalFormatting sqref="J13:J23">
    <cfRule type="cellIs" dxfId="1" priority="2" operator="lessThan">
      <formula>0</formula>
    </cfRule>
  </conditionalFormatting>
  <conditionalFormatting sqref="J7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321">
      <formula1>"Excellent,Good,Neutral,Low,Stressed"</formula1>
      <formula2>0</formula2>
    </dataValidation>
    <dataValidation type="list" allowBlank="1" prompt="Select today's satisfaction level" sqref="L6:L321">
      <formula1>"Very Satisfied,Satisfied,Neutral,Unsatisfied,Very Unsatisfied"</formula1>
      <formula2>0</formula2>
    </dataValidation>
    <dataValidation type="list" allowBlank="1" prompt="Select today's energy level" sqref="M6:M32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2026-10-03T20:33:32Z</dcterms:modified>
  <dc:language>en-US</dc:language>
</cp:coreProperties>
</file>