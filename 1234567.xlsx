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05" yWindow="-105" windowWidth="19425" windowHeight="10425" tabRatio="500" activeTab="1"/>
  </bookViews>
  <sheets>
    <sheet name="Instructions" sheetId="1" r:id="rId1"/>
    <sheet name="Daily Log" sheetId="2" r:id="rId2"/>
  </sheets>
  <calcPr calcId="144525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J7" i="2" s="1"/>
  <c r="I8" i="2"/>
  <c r="J8" i="2" s="1"/>
  <c r="I9" i="2"/>
  <c r="J9" i="2" s="1"/>
  <c r="I10" i="2"/>
  <c r="J10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396" i="2" l="1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12" i="2"/>
  <c r="J12" i="2" s="1"/>
  <c r="I11" i="2"/>
  <c r="J11" i="2" s="1"/>
  <c r="I6" i="2"/>
  <c r="J6" i="2" l="1"/>
</calcChain>
</file>

<file path=xl/sharedStrings.xml><?xml version="1.0" encoding="utf-8"?>
<sst xmlns="http://schemas.openxmlformats.org/spreadsheetml/2006/main" count="125" uniqueCount="75">
  <si>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</si>
  <si>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</si>
  <si>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</si>
  <si>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</si>
  <si>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</si>
  <si>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</si>
  <si>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</si>
  <si>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</si>
  <si>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</si>
  <si>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</si>
  <si>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</si>
  <si>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</si>
  <si>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</si>
  <si>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</si>
  <si>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</si>
  <si>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</si>
  <si>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</si>
  <si>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</si>
  <si>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</si>
  <si>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</si>
  <si>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</si>
  <si>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</si>
  <si>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</si>
  <si>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</si>
  <si>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</si>
  <si>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</si>
  <si>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</si>
  <si>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</si>
  <si>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</si>
  <si>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</si>
  <si>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</si>
  <si>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</si>
  <si>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</si>
  <si>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</si>
  <si>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</si>
  <si>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</si>
  <si>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</si>
  <si>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</si>
  <si>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</si>
  <si>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</si>
  <si>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</si>
  <si>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</si>
  <si>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</si>
  <si>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</si>
  <si>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</si>
  <si>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</si>
  <si>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</si>
  <si>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</si>
  <si>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</si>
  <si>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</si>
  <si>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</si>
  <si>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</si>
  <si>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</si>
  <si>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</si>
  <si>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Amisha Kumari</t>
  </si>
  <si>
    <t>okay</t>
  </si>
  <si>
    <t>satisfied</t>
  </si>
  <si>
    <t>medium</t>
  </si>
  <si>
    <t>Nothing special, all good</t>
  </si>
  <si>
    <t xml:space="preserve">MCA </t>
  </si>
  <si>
    <t>September</t>
  </si>
  <si>
    <t xml:space="preserve"> It was tiring but productive day</t>
  </si>
  <si>
    <t>low</t>
  </si>
  <si>
    <t>It was okay</t>
  </si>
  <si>
    <t>Peaceful day</t>
  </si>
  <si>
    <t>good</t>
  </si>
  <si>
    <t>Day went fine</t>
  </si>
  <si>
    <t>it was okay</t>
  </si>
  <si>
    <t>Today was simple and quiet</t>
  </si>
  <si>
    <t>It was just an average day</t>
  </si>
  <si>
    <t>The day was calm and okayish</t>
  </si>
  <si>
    <t>It was a refreshing day</t>
  </si>
  <si>
    <t>It was great day</t>
  </si>
  <si>
    <t>it was busy day</t>
  </si>
  <si>
    <t>Today was little hectic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</si>
</sst>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3">
    <dxf>
      <font>
        <color rgb="FF9C0006"/>
        <name val="Arial"/>
      </font>
      <fill>
        <patternFill>
          <bgColor rgb="FFFFC7CE"/>
        </patternFill>
      </fill>
    </dxf>
    <dxf>
      <font>
        <color rgb="FF9C0006"/>
        <name val="Arial"/>
      </font>
      <fill>
        <patternFill>
          <bgColor rgb="FFFFC7CE"/>
        </patternFill>
      </fill>
    </dxf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96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3" sqref="M3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12629031</v>
      </c>
      <c r="G2" s="20"/>
    </row>
    <row r="3" spans="1:14" ht="19.5" customHeight="1" x14ac:dyDescent="0.25">
      <c r="A3" s="6" t="s">
        <v>32</v>
      </c>
      <c r="B3" s="20" t="s">
        <v>59</v>
      </c>
      <c r="C3" s="20"/>
      <c r="D3" s="20"/>
      <c r="E3" s="6" t="s">
        <v>33</v>
      </c>
      <c r="F3" s="20" t="s">
        <v>60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customHeight="1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4" si="0">IF(SUM(B6:F6,H6)=0,"",SUM(B6:F6,H6))</f>
        <v>885</v>
      </c>
      <c r="J6" s="10">
        <f t="shared" ref="J6:J64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25">
      <c r="A7" s="13">
        <v>46280</v>
      </c>
      <c r="B7" s="14">
        <v>400</v>
      </c>
      <c r="C7" s="14">
        <v>60</v>
      </c>
      <c r="D7" s="14">
        <v>130</v>
      </c>
      <c r="E7" s="14">
        <v>60</v>
      </c>
      <c r="F7" s="14">
        <v>420</v>
      </c>
      <c r="G7" s="14">
        <v>7</v>
      </c>
      <c r="H7" s="14">
        <v>60</v>
      </c>
      <c r="I7" s="15">
        <f t="shared" si="0"/>
        <v>1130</v>
      </c>
      <c r="J7" s="15">
        <f t="shared" si="1"/>
        <v>310</v>
      </c>
      <c r="K7" s="16" t="s">
        <v>65</v>
      </c>
      <c r="L7" s="16" t="s">
        <v>56</v>
      </c>
      <c r="M7" s="16" t="s">
        <v>57</v>
      </c>
      <c r="N7" s="17" t="s">
        <v>73</v>
      </c>
    </row>
    <row r="8" spans="1:14" x14ac:dyDescent="0.25">
      <c r="A8" s="13">
        <v>46281</v>
      </c>
      <c r="B8" s="14">
        <v>430</v>
      </c>
      <c r="C8" s="14">
        <v>60</v>
      </c>
      <c r="D8" s="14">
        <v>170</v>
      </c>
      <c r="E8" s="14">
        <v>70</v>
      </c>
      <c r="F8" s="14">
        <v>360</v>
      </c>
      <c r="G8" s="14">
        <v>6</v>
      </c>
      <c r="H8" s="14">
        <v>60</v>
      </c>
      <c r="I8" s="15">
        <f t="shared" si="0"/>
        <v>1150</v>
      </c>
      <c r="J8" s="15">
        <f t="shared" si="1"/>
        <v>290</v>
      </c>
      <c r="K8" s="16" t="s">
        <v>55</v>
      </c>
      <c r="L8" s="16" t="s">
        <v>55</v>
      </c>
      <c r="M8" s="16" t="s">
        <v>62</v>
      </c>
      <c r="N8" s="17" t="s">
        <v>74</v>
      </c>
    </row>
    <row r="9" spans="1:14" x14ac:dyDescent="0.25">
      <c r="A9" s="13">
        <v>46282</v>
      </c>
      <c r="B9" s="14">
        <v>460</v>
      </c>
      <c r="C9" s="14">
        <v>60</v>
      </c>
      <c r="D9" s="14">
        <v>200</v>
      </c>
      <c r="E9" s="14">
        <v>60</v>
      </c>
      <c r="F9" s="14">
        <v>180</v>
      </c>
      <c r="G9" s="14">
        <v>3</v>
      </c>
      <c r="H9" s="14">
        <v>60</v>
      </c>
      <c r="I9" s="15">
        <f t="shared" si="0"/>
        <v>1020</v>
      </c>
      <c r="J9" s="15">
        <f t="shared" si="1"/>
        <v>420</v>
      </c>
      <c r="K9" s="16" t="s">
        <v>55</v>
      </c>
      <c r="L9" s="16" t="s">
        <v>55</v>
      </c>
      <c r="M9" s="16" t="s">
        <v>57</v>
      </c>
      <c r="N9" t="s">
        <v>69</v>
      </c>
    </row>
    <row r="10" spans="1:14" x14ac:dyDescent="0.25">
      <c r="A10" s="13">
        <v>46283</v>
      </c>
      <c r="B10" s="14">
        <v>450</v>
      </c>
      <c r="C10" s="14">
        <v>60</v>
      </c>
      <c r="D10" s="14">
        <v>250</v>
      </c>
      <c r="E10" s="14">
        <v>60</v>
      </c>
      <c r="F10" s="14">
        <v>300</v>
      </c>
      <c r="G10" s="14">
        <v>5</v>
      </c>
      <c r="H10" s="14">
        <v>80</v>
      </c>
      <c r="I10" s="15">
        <f t="shared" si="0"/>
        <v>1200</v>
      </c>
      <c r="J10" s="15">
        <f t="shared" si="1"/>
        <v>240</v>
      </c>
      <c r="K10" s="16" t="s">
        <v>55</v>
      </c>
      <c r="L10" s="16" t="s">
        <v>56</v>
      </c>
      <c r="M10" s="16" t="s">
        <v>57</v>
      </c>
      <c r="N10" t="s">
        <v>70</v>
      </c>
    </row>
    <row r="11" spans="1:14" x14ac:dyDescent="0.25">
      <c r="A11" s="13">
        <v>46284</v>
      </c>
      <c r="B11" s="14">
        <v>450</v>
      </c>
      <c r="C11" s="14">
        <v>60</v>
      </c>
      <c r="D11" s="14">
        <v>250</v>
      </c>
      <c r="E11" s="14">
        <v>70</v>
      </c>
      <c r="F11" s="14">
        <v>0</v>
      </c>
      <c r="G11" s="14">
        <v>0</v>
      </c>
      <c r="H11" s="14">
        <v>60</v>
      </c>
      <c r="I11" s="15">
        <f t="shared" si="0"/>
        <v>890</v>
      </c>
      <c r="J11" s="15">
        <f t="shared" si="1"/>
        <v>550</v>
      </c>
      <c r="K11" s="16" t="s">
        <v>65</v>
      </c>
      <c r="L11" s="16" t="s">
        <v>56</v>
      </c>
      <c r="M11" s="16" t="s">
        <v>57</v>
      </c>
      <c r="N11" t="s">
        <v>71</v>
      </c>
    </row>
    <row r="12" spans="1:14" x14ac:dyDescent="0.25">
      <c r="A12" s="13">
        <v>46285</v>
      </c>
      <c r="B12" s="14">
        <v>460</v>
      </c>
      <c r="C12" s="14">
        <v>70</v>
      </c>
      <c r="D12" s="14">
        <v>300</v>
      </c>
      <c r="E12" s="14">
        <v>80</v>
      </c>
      <c r="F12" s="14">
        <v>0</v>
      </c>
      <c r="G12" s="14">
        <v>0</v>
      </c>
      <c r="H12" s="14">
        <v>80</v>
      </c>
      <c r="I12" s="15">
        <f t="shared" si="0"/>
        <v>990</v>
      </c>
      <c r="J12" s="15">
        <f t="shared" si="1"/>
        <v>450</v>
      </c>
      <c r="K12" s="16" t="s">
        <v>65</v>
      </c>
      <c r="L12" s="16" t="s">
        <v>56</v>
      </c>
      <c r="M12" s="16" t="s">
        <v>57</v>
      </c>
      <c r="N12" s="17" t="s">
        <v>72</v>
      </c>
    </row>
    <row r="13" spans="1:14" x14ac:dyDescent="0.25">
      <c r="A13" s="13">
        <v>46286</v>
      </c>
      <c r="B13" s="14">
        <v>450</v>
      </c>
      <c r="C13" s="14">
        <v>60</v>
      </c>
      <c r="D13" s="14">
        <v>150</v>
      </c>
      <c r="E13" s="14">
        <v>60</v>
      </c>
      <c r="F13" s="14">
        <v>360</v>
      </c>
      <c r="G13" s="14">
        <v>6</v>
      </c>
      <c r="H13" s="14">
        <v>60</v>
      </c>
      <c r="I13" s="15">
        <f t="shared" ref="I13:I23" si="2">IF(SUM(B13:F13,H13)=0,"",SUM(B13:F13,H13))</f>
        <v>1140</v>
      </c>
      <c r="J13" s="15">
        <f t="shared" ref="J13:J23" si="3">IF(I13="","",1440-I13)</f>
        <v>300</v>
      </c>
      <c r="K13" s="16" t="s">
        <v>55</v>
      </c>
      <c r="L13" s="16" t="s">
        <v>56</v>
      </c>
      <c r="M13" s="16" t="s">
        <v>57</v>
      </c>
      <c r="N13" s="17" t="s">
        <v>58</v>
      </c>
    </row>
    <row r="14" spans="1:14" x14ac:dyDescent="0.25">
      <c r="A14" s="13">
        <v>46287</v>
      </c>
      <c r="B14" s="14">
        <v>460</v>
      </c>
      <c r="C14" s="14">
        <v>50</v>
      </c>
      <c r="D14" s="14">
        <v>130</v>
      </c>
      <c r="E14" s="14">
        <v>60</v>
      </c>
      <c r="F14" s="14">
        <v>420</v>
      </c>
      <c r="G14" s="14">
        <v>7</v>
      </c>
      <c r="H14" s="14">
        <v>50</v>
      </c>
      <c r="I14" s="15">
        <f t="shared" si="2"/>
        <v>1170</v>
      </c>
      <c r="J14" s="15">
        <f t="shared" si="3"/>
        <v>270</v>
      </c>
      <c r="K14" s="16" t="s">
        <v>55</v>
      </c>
      <c r="L14" s="16" t="s">
        <v>56</v>
      </c>
      <c r="M14" s="16" t="s">
        <v>57</v>
      </c>
      <c r="N14" t="s">
        <v>61</v>
      </c>
    </row>
    <row r="15" spans="1:14" x14ac:dyDescent="0.25">
      <c r="A15" s="13">
        <v>46288</v>
      </c>
      <c r="B15" s="14">
        <v>450</v>
      </c>
      <c r="C15" s="14">
        <v>60</v>
      </c>
      <c r="D15" s="14">
        <v>120</v>
      </c>
      <c r="E15" s="14">
        <v>50</v>
      </c>
      <c r="F15" s="14">
        <v>360</v>
      </c>
      <c r="G15" s="14">
        <v>6</v>
      </c>
      <c r="H15" s="14">
        <v>60</v>
      </c>
      <c r="I15" s="15">
        <f t="shared" si="2"/>
        <v>1100</v>
      </c>
      <c r="J15" s="15">
        <f t="shared" si="3"/>
        <v>340</v>
      </c>
      <c r="K15" s="16" t="s">
        <v>55</v>
      </c>
      <c r="L15" s="16" t="s">
        <v>55</v>
      </c>
      <c r="M15" s="16" t="s">
        <v>62</v>
      </c>
      <c r="N15" s="17" t="s">
        <v>63</v>
      </c>
    </row>
    <row r="16" spans="1:14" x14ac:dyDescent="0.25">
      <c r="A16" s="13">
        <v>46289</v>
      </c>
      <c r="B16" s="14">
        <v>460</v>
      </c>
      <c r="C16" s="14">
        <v>30</v>
      </c>
      <c r="D16" s="14">
        <v>150</v>
      </c>
      <c r="E16" s="14">
        <v>50</v>
      </c>
      <c r="F16" s="14">
        <v>0</v>
      </c>
      <c r="G16" s="14">
        <v>0</v>
      </c>
      <c r="H16" s="14">
        <v>60</v>
      </c>
      <c r="I16" s="15">
        <f t="shared" si="2"/>
        <v>750</v>
      </c>
      <c r="J16" s="15">
        <f t="shared" si="3"/>
        <v>690</v>
      </c>
      <c r="K16" s="16" t="s">
        <v>55</v>
      </c>
      <c r="L16" s="16" t="s">
        <v>56</v>
      </c>
      <c r="M16" s="16" t="s">
        <v>57</v>
      </c>
      <c r="N16" t="s">
        <v>64</v>
      </c>
    </row>
    <row r="17" spans="1:14" x14ac:dyDescent="0.25">
      <c r="A17" s="13">
        <v>46290</v>
      </c>
      <c r="B17" s="14">
        <v>460</v>
      </c>
      <c r="C17" s="14">
        <v>60</v>
      </c>
      <c r="D17" s="14">
        <v>150</v>
      </c>
      <c r="E17" s="14">
        <v>60</v>
      </c>
      <c r="F17" s="14">
        <v>300</v>
      </c>
      <c r="G17" s="14">
        <v>5</v>
      </c>
      <c r="H17" s="14">
        <v>60</v>
      </c>
      <c r="I17" s="15">
        <f t="shared" si="2"/>
        <v>1090</v>
      </c>
      <c r="J17" s="15">
        <f t="shared" si="3"/>
        <v>350</v>
      </c>
      <c r="K17" s="16" t="s">
        <v>65</v>
      </c>
      <c r="L17" s="16" t="s">
        <v>56</v>
      </c>
      <c r="M17" s="16" t="s">
        <v>57</v>
      </c>
      <c r="N17" t="s">
        <v>66</v>
      </c>
    </row>
    <row r="18" spans="1:14" x14ac:dyDescent="0.25">
      <c r="A18" s="13">
        <v>46291</v>
      </c>
      <c r="B18" s="14">
        <v>450</v>
      </c>
      <c r="C18" s="14">
        <v>60</v>
      </c>
      <c r="D18" s="14">
        <v>200</v>
      </c>
      <c r="E18" s="14">
        <v>60</v>
      </c>
      <c r="F18" s="14">
        <v>180</v>
      </c>
      <c r="G18" s="14">
        <v>3</v>
      </c>
      <c r="H18" s="14">
        <v>60</v>
      </c>
      <c r="I18" s="15">
        <f t="shared" si="2"/>
        <v>1010</v>
      </c>
      <c r="J18" s="15">
        <f t="shared" si="3"/>
        <v>430</v>
      </c>
      <c r="K18" s="16" t="s">
        <v>65</v>
      </c>
      <c r="L18" s="16" t="s">
        <v>56</v>
      </c>
      <c r="M18" s="16" t="s">
        <v>57</v>
      </c>
      <c r="N18" s="17" t="s">
        <v>67</v>
      </c>
    </row>
    <row r="19" spans="1:14" x14ac:dyDescent="0.25">
      <c r="A19" s="13">
        <v>46292</v>
      </c>
      <c r="B19" s="14">
        <v>450</v>
      </c>
      <c r="C19" s="14">
        <v>60</v>
      </c>
      <c r="D19" s="14">
        <v>200</v>
      </c>
      <c r="E19" s="14">
        <v>70</v>
      </c>
      <c r="F19" s="14">
        <v>0</v>
      </c>
      <c r="G19" s="14">
        <v>0</v>
      </c>
      <c r="H19" s="14">
        <v>60</v>
      </c>
      <c r="I19" s="15">
        <f t="shared" si="2"/>
        <v>840</v>
      </c>
      <c r="J19" s="15">
        <f t="shared" si="3"/>
        <v>600</v>
      </c>
      <c r="K19" s="16" t="s">
        <v>55</v>
      </c>
      <c r="L19" s="16" t="s">
        <v>55</v>
      </c>
      <c r="M19" s="16" t="s">
        <v>62</v>
      </c>
      <c r="N19" s="17" t="s">
        <v>68</v>
      </c>
    </row>
    <row r="20" spans="1:14" x14ac:dyDescent="0.25">
      <c r="A20" s="13">
        <v>46293</v>
      </c>
      <c r="B20" s="14">
        <v>450</v>
      </c>
      <c r="C20" s="14">
        <v>60</v>
      </c>
      <c r="D20" s="14">
        <v>200</v>
      </c>
      <c r="E20" s="14">
        <v>60</v>
      </c>
      <c r="F20" s="14">
        <v>0</v>
      </c>
      <c r="G20" s="14">
        <v>0</v>
      </c>
      <c r="H20" s="14">
        <v>60</v>
      </c>
      <c r="I20" s="15">
        <f t="shared" si="2"/>
        <v>830</v>
      </c>
      <c r="J20" s="15">
        <f t="shared" si="3"/>
        <v>610</v>
      </c>
      <c r="K20" s="16" t="s">
        <v>55</v>
      </c>
      <c r="L20" s="16" t="s">
        <v>55</v>
      </c>
      <c r="M20" s="16" t="s">
        <v>57</v>
      </c>
      <c r="N20" t="s">
        <v>69</v>
      </c>
    </row>
    <row r="21" spans="1:14" x14ac:dyDescent="0.25">
      <c r="A21" s="13">
        <v>46294</v>
      </c>
      <c r="B21" s="14">
        <v>420</v>
      </c>
      <c r="C21" s="14">
        <v>60</v>
      </c>
      <c r="D21" s="14">
        <v>250</v>
      </c>
      <c r="E21" s="14">
        <v>60</v>
      </c>
      <c r="F21" s="14">
        <v>0</v>
      </c>
      <c r="G21" s="14">
        <v>0</v>
      </c>
      <c r="H21" s="14">
        <v>80</v>
      </c>
      <c r="I21" s="15">
        <f t="shared" si="2"/>
        <v>870</v>
      </c>
      <c r="J21" s="15">
        <f t="shared" si="3"/>
        <v>570</v>
      </c>
      <c r="K21" s="16" t="s">
        <v>55</v>
      </c>
      <c r="L21" s="16" t="s">
        <v>56</v>
      </c>
      <c r="M21" s="16" t="s">
        <v>57</v>
      </c>
      <c r="N21" t="s">
        <v>70</v>
      </c>
    </row>
    <row r="22" spans="1:14" x14ac:dyDescent="0.25">
      <c r="A22" s="13">
        <v>46295</v>
      </c>
      <c r="B22" s="14">
        <v>420</v>
      </c>
      <c r="C22" s="14">
        <v>60</v>
      </c>
      <c r="D22" s="14">
        <v>250</v>
      </c>
      <c r="E22" s="14">
        <v>70</v>
      </c>
      <c r="F22" s="14">
        <v>0</v>
      </c>
      <c r="G22" s="14">
        <v>0</v>
      </c>
      <c r="H22" s="14">
        <v>60</v>
      </c>
      <c r="I22" s="15">
        <f t="shared" si="2"/>
        <v>860</v>
      </c>
      <c r="J22" s="15">
        <f t="shared" si="3"/>
        <v>580</v>
      </c>
      <c r="K22" s="16" t="s">
        <v>65</v>
      </c>
      <c r="L22" s="16" t="s">
        <v>56</v>
      </c>
      <c r="M22" s="16" t="s">
        <v>57</v>
      </c>
      <c r="N22" t="s">
        <v>71</v>
      </c>
    </row>
    <row r="23" spans="1:14" x14ac:dyDescent="0.25">
      <c r="A23" s="13">
        <v>46296</v>
      </c>
      <c r="B23" s="14">
        <v>460</v>
      </c>
      <c r="C23" s="14">
        <v>70</v>
      </c>
      <c r="D23" s="14">
        <v>300</v>
      </c>
      <c r="E23" s="14">
        <v>80</v>
      </c>
      <c r="F23" s="14">
        <v>0</v>
      </c>
      <c r="G23" s="14">
        <v>0</v>
      </c>
      <c r="H23" s="14">
        <v>80</v>
      </c>
      <c r="I23" s="15">
        <f t="shared" si="2"/>
        <v>990</v>
      </c>
      <c r="J23" s="15">
        <f t="shared" si="3"/>
        <v>450</v>
      </c>
      <c r="K23" s="16" t="s">
        <v>65</v>
      </c>
      <c r="L23" s="16" t="s">
        <v>56</v>
      </c>
      <c r="M23" s="16" t="s">
        <v>57</v>
      </c>
      <c r="N23" s="17" t="s">
        <v>72</v>
      </c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ref="I65:I128" si="4">IF(SUM(B65:F65,H65)=0,"",SUM(B65:F65,H65))</f>
        <v/>
      </c>
      <c r="J65" s="15" t="str">
        <f t="shared" ref="J65:J128" si="5">IF(I65="","",1440-I65)</f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4"/>
        <v/>
      </c>
      <c r="J66" s="15" t="str">
        <f t="shared" si="5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4"/>
        <v/>
      </c>
      <c r="J67" s="15" t="str">
        <f t="shared" si="5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4"/>
        <v/>
      </c>
      <c r="J68" s="15" t="str">
        <f t="shared" si="5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4"/>
        <v/>
      </c>
      <c r="J69" s="15" t="str">
        <f t="shared" si="5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si="4"/>
        <v/>
      </c>
      <c r="J70" s="15" t="str">
        <f t="shared" si="5"/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ref="I129:I192" si="6">IF(SUM(B129:F129,H129)=0,"",SUM(B129:F129,H129))</f>
        <v/>
      </c>
      <c r="J129" s="15" t="str">
        <f t="shared" ref="J129:J192" si="7">IF(I129="","",1440-I129)</f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6"/>
        <v/>
      </c>
      <c r="J130" s="15" t="str">
        <f t="shared" si="7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6"/>
        <v/>
      </c>
      <c r="J131" s="15" t="str">
        <f t="shared" si="7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6"/>
        <v/>
      </c>
      <c r="J132" s="15" t="str">
        <f t="shared" si="7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6"/>
        <v/>
      </c>
      <c r="J133" s="15" t="str">
        <f t="shared" si="7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si="6"/>
        <v/>
      </c>
      <c r="J134" s="15" t="str">
        <f t="shared" si="7"/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ref="I193:I256" si="8">IF(SUM(B193:F193,H193)=0,"",SUM(B193:F193,H193))</f>
        <v/>
      </c>
      <c r="J193" s="15" t="str">
        <f t="shared" ref="J193:J256" si="9">IF(I193="","",1440-I193)</f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8"/>
        <v/>
      </c>
      <c r="J194" s="15" t="str">
        <f t="shared" si="9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8"/>
        <v/>
      </c>
      <c r="J195" s="15" t="str">
        <f t="shared" si="9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8"/>
        <v/>
      </c>
      <c r="J196" s="15" t="str">
        <f t="shared" si="9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8"/>
        <v/>
      </c>
      <c r="J197" s="15" t="str">
        <f t="shared" si="9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si="8"/>
        <v/>
      </c>
      <c r="J198" s="15" t="str">
        <f t="shared" si="9"/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ref="I257:I320" si="10">IF(SUM(B257:F257,H257)=0,"",SUM(B257:F257,H257))</f>
        <v/>
      </c>
      <c r="J257" s="15" t="str">
        <f t="shared" ref="J257:J320" si="11">IF(I257="","",1440-I257)</f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0"/>
        <v/>
      </c>
      <c r="J258" s="15" t="str">
        <f t="shared" si="11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0"/>
        <v/>
      </c>
      <c r="J259" s="15" t="str">
        <f t="shared" si="11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0"/>
        <v/>
      </c>
      <c r="J260" s="15" t="str">
        <f t="shared" si="11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0"/>
        <v/>
      </c>
      <c r="J261" s="15" t="str">
        <f t="shared" si="11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si="10"/>
        <v/>
      </c>
      <c r="J262" s="15" t="str">
        <f t="shared" si="11"/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ref="I321:I384" si="12">IF(SUM(B321:F321,H321)=0,"",SUM(B321:F321,H321))</f>
        <v/>
      </c>
      <c r="J321" s="15" t="str">
        <f t="shared" ref="J321:J384" si="13">IF(I321="","",1440-I321)</f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2"/>
        <v/>
      </c>
      <c r="J322" s="15" t="str">
        <f t="shared" si="13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2"/>
        <v/>
      </c>
      <c r="J323" s="15" t="str">
        <f t="shared" si="13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2"/>
        <v/>
      </c>
      <c r="J324" s="15" t="str">
        <f t="shared" si="13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2"/>
        <v/>
      </c>
      <c r="J325" s="15" t="str">
        <f t="shared" si="13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2"/>
        <v/>
      </c>
      <c r="J326" s="15" t="str">
        <f t="shared" si="13"/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ref="I385:I396" si="14">IF(SUM(B385:F385,H385)=0,"",SUM(B385:F385,H385))</f>
        <v/>
      </c>
      <c r="J385" s="15" t="str">
        <f t="shared" ref="J385:J396" si="15">IF(I385="","",1440-I385)</f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4"/>
        <v/>
      </c>
      <c r="J386" s="15" t="str">
        <f t="shared" si="15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4"/>
        <v/>
      </c>
      <c r="J387" s="15" t="str">
        <f t="shared" si="15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4"/>
        <v/>
      </c>
      <c r="J388" s="15" t="str">
        <f t="shared" si="15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4"/>
        <v/>
      </c>
      <c r="J389" s="15" t="str">
        <f t="shared" si="15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4"/>
        <v/>
      </c>
      <c r="J390" s="15" t="str">
        <f t="shared" si="15"/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24:J396 J6:J12">
    <cfRule type="cellIs" dxfId="1" priority="3" operator="lessThan">
      <formula>0</formula>
    </cfRule>
  </conditionalFormatting>
  <conditionalFormatting sqref="J13:J23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396">
      <formula1>"Excellent,Good,Neutral,Low,Stressed"</formula1>
      <formula2>0</formula2>
    </dataValidation>
    <dataValidation type="list" allowBlank="1" prompt="Select today's satisfaction level" sqref="L6:L396">
      <formula1>"Very Satisfied,Satisfied,Neutral,Unsatisfied,Very Unsatisfied"</formula1>
      <formula2>0</formula2>
    </dataValidation>
    <dataValidation type="list" allowBlank="1" prompt="Select today's energy level" sqref="M6:M396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2026-10-02T18:12:38Z</dcterms:modified>
  <dc:language>en-US</dc:language>
</cp:coreProperties>
</file>